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DB8D0A89-B717-4597-A5A7-B66694B0B400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36" i="2" l="1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11" i="2"/>
  <c r="J11" i="2" s="1"/>
  <c r="I10" i="2"/>
  <c r="J10" i="2" s="1"/>
  <c r="I9" i="2"/>
  <c r="J9" i="2" s="1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<sst xmlns="http://schemas.openxmlformats.org/spreadsheetml/2006/main" count="177" uniqueCount="74">
  <si>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</si>
  <si>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</si>
  <si>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</si>
  <si>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</si>
  <si>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</si>
  <si>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</si>
  <si>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</si>
  <si>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</si>
  <si>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</si>
  <si>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</si>
  <si>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</si>
  <si>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</si>
  <si>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</si>
  <si>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</si>
  <si>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</si>
  <si>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</si>
  <si>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</si>
  <si>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</si>
  <si>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</si>
  <si>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</si>
  <si>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</si>
  <si>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</si>
  <si>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</si>
  <si>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</si>
  <si>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</si>
  <si>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</si>
  <si>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</si>
  <si>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</si>
  <si>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</si>
  <si>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</si>
  <si>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</si>
  <si>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</si>
  <si>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</si>
  <si>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</si>
  <si>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</si>
  <si>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</si>
  <si>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</si>
  <si>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</si>
  <si>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</si>
  <si>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</si>
  <si>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</si>
  <si>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</si>
  <si>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</si>
  <si>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</si>
  <si>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</si>
  <si>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</si>
  <si>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</si>
  <si>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</si>
  <si>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</si>
  <si>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</si>
  <si>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Medium</t>
  </si>
  <si>
    <t>5. GOOD PRACTICE</t>
  </si>
  <si>
    <t>Navdeep Singh</t>
  </si>
  <si>
    <t>MCA</t>
  </si>
  <si>
    <t>Neutral</t>
  </si>
  <si>
    <t>Doing more practicals today.</t>
  </si>
  <si>
    <t>moslty induction</t>
  </si>
  <si>
    <t>Satisfied</t>
  </si>
  <si>
    <t>Mostly practicals</t>
  </si>
  <si>
    <t>Weather help to handel the day</t>
  </si>
  <si>
    <t>meet old friends</t>
  </si>
  <si>
    <t>High</t>
  </si>
  <si>
    <t>I went home at time</t>
  </si>
  <si>
    <t>Excellent</t>
  </si>
  <si>
    <t>Low</t>
  </si>
  <si>
    <t>To much lecture</t>
  </si>
  <si>
    <t>Unsatisfied</t>
  </si>
  <si>
    <t>Stressed</t>
  </si>
  <si>
    <t>September</t>
  </si>
  <si>
    <t>Done very good coding</t>
  </si>
  <si>
    <t>Good day</t>
  </si>
  <si>
    <t>Preparing CA</t>
  </si>
  <si>
    <t>Lost Water Bottle</t>
  </si>
  <si>
    <t>Very Unsatisfied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</si>
</sst>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554687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51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M33" sqref="M33"/>
    </sheetView>
  </sheetViews>
  <sheetFormatPr defaultColWidth="8.554687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52</v>
      </c>
      <c r="C2" s="20"/>
      <c r="D2" s="20"/>
      <c r="E2" s="6" t="s">
        <v>31</v>
      </c>
      <c r="F2" s="20">
        <v>12617636</v>
      </c>
      <c r="G2" s="20"/>
    </row>
    <row r="3" spans="1:14" ht="19.5" customHeight="1" x14ac:dyDescent="0.3">
      <c r="A3" s="6" t="s">
        <v>32</v>
      </c>
      <c r="B3" s="20" t="s">
        <v>53</v>
      </c>
      <c r="C3" s="20"/>
      <c r="D3" s="20"/>
      <c r="E3" s="6" t="s">
        <v>33</v>
      </c>
      <c r="F3" s="20" t="s">
        <v>68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x14ac:dyDescent="0.3">
      <c r="A6" s="8">
        <v>46245</v>
      </c>
      <c r="B6" s="9">
        <v>360</v>
      </c>
      <c r="C6" s="9">
        <v>15</v>
      </c>
      <c r="D6" s="9">
        <v>60</v>
      </c>
      <c r="E6" s="9">
        <v>25</v>
      </c>
      <c r="F6" s="9">
        <v>250</v>
      </c>
      <c r="G6" s="9">
        <v>5</v>
      </c>
      <c r="H6" s="9">
        <v>300</v>
      </c>
      <c r="I6" s="10">
        <f t="shared" ref="I6:I69" si="0">IF(SUM(B6:F6,H6)=0,"",SUM(B6:F6,H6))</f>
        <v>1010</v>
      </c>
      <c r="J6" s="10">
        <f t="shared" ref="J6:J69" si="1">IF(I6="","",1440-I6)</f>
        <v>430</v>
      </c>
      <c r="K6" s="11" t="s">
        <v>49</v>
      </c>
      <c r="L6" s="11" t="s">
        <v>54</v>
      </c>
      <c r="M6" s="11" t="s">
        <v>50</v>
      </c>
      <c r="N6" s="12" t="s">
        <v>55</v>
      </c>
    </row>
    <row r="7" spans="1:14" x14ac:dyDescent="0.3">
      <c r="A7" s="13">
        <v>46246</v>
      </c>
      <c r="B7" s="14">
        <v>360</v>
      </c>
      <c r="C7" s="14">
        <v>20</v>
      </c>
      <c r="D7" s="14">
        <v>50</v>
      </c>
      <c r="E7" s="14">
        <v>50</v>
      </c>
      <c r="F7" s="14">
        <v>200</v>
      </c>
      <c r="G7" s="14">
        <v>4</v>
      </c>
      <c r="H7" s="14">
        <v>240</v>
      </c>
      <c r="I7" s="15">
        <f t="shared" si="0"/>
        <v>920</v>
      </c>
      <c r="J7" s="15">
        <f t="shared" si="1"/>
        <v>520</v>
      </c>
      <c r="K7" s="16" t="s">
        <v>54</v>
      </c>
      <c r="L7" s="16" t="s">
        <v>54</v>
      </c>
      <c r="M7" s="16" t="s">
        <v>50</v>
      </c>
      <c r="N7" s="17" t="s">
        <v>59</v>
      </c>
    </row>
    <row r="8" spans="1:14" x14ac:dyDescent="0.3">
      <c r="A8" s="13">
        <v>46247</v>
      </c>
      <c r="B8" s="14">
        <v>380</v>
      </c>
      <c r="C8" s="14">
        <v>15</v>
      </c>
      <c r="D8" s="14">
        <v>70</v>
      </c>
      <c r="E8" s="14">
        <v>50</v>
      </c>
      <c r="F8" s="14">
        <v>300</v>
      </c>
      <c r="G8" s="14">
        <v>6</v>
      </c>
      <c r="H8" s="14">
        <v>300</v>
      </c>
      <c r="I8" s="15">
        <f t="shared" si="0"/>
        <v>1115</v>
      </c>
      <c r="J8" s="15">
        <f t="shared" si="1"/>
        <v>325</v>
      </c>
      <c r="K8" s="16" t="s">
        <v>49</v>
      </c>
      <c r="L8" s="16" t="s">
        <v>57</v>
      </c>
      <c r="M8" s="16" t="s">
        <v>50</v>
      </c>
      <c r="N8" s="17" t="s">
        <v>60</v>
      </c>
    </row>
    <row r="9" spans="1:14" x14ac:dyDescent="0.3">
      <c r="A9" s="13">
        <v>46248</v>
      </c>
      <c r="B9" s="14">
        <v>360</v>
      </c>
      <c r="C9" s="14">
        <v>30</v>
      </c>
      <c r="D9" s="14">
        <v>80</v>
      </c>
      <c r="E9" s="14">
        <v>0</v>
      </c>
      <c r="F9" s="14">
        <v>200</v>
      </c>
      <c r="G9" s="14">
        <v>4</v>
      </c>
      <c r="H9" s="14">
        <v>300</v>
      </c>
      <c r="I9" s="15">
        <f t="shared" ref="I9:I11" si="2">IF(SUM(B9:F9,H9)=0,"",SUM(B9:F9,H9))</f>
        <v>970</v>
      </c>
      <c r="J9" s="15">
        <f t="shared" ref="J9:J11" si="3">IF(I9="","",1440-I9)</f>
        <v>470</v>
      </c>
      <c r="K9" s="16" t="s">
        <v>49</v>
      </c>
      <c r="L9" s="16" t="s">
        <v>57</v>
      </c>
      <c r="M9" s="16" t="s">
        <v>61</v>
      </c>
      <c r="N9" s="17" t="s">
        <v>62</v>
      </c>
    </row>
    <row r="10" spans="1:14" x14ac:dyDescent="0.3">
      <c r="A10" s="13">
        <v>46251</v>
      </c>
      <c r="B10" s="14">
        <v>400</v>
      </c>
      <c r="C10" s="14">
        <v>30</v>
      </c>
      <c r="D10" s="14">
        <v>50</v>
      </c>
      <c r="E10" s="14">
        <v>50</v>
      </c>
      <c r="F10" s="14">
        <v>250</v>
      </c>
      <c r="G10" s="14">
        <v>4</v>
      </c>
      <c r="H10" s="14">
        <v>300</v>
      </c>
      <c r="I10" s="15">
        <f t="shared" si="2"/>
        <v>1080</v>
      </c>
      <c r="J10" s="15">
        <f t="shared" si="3"/>
        <v>360</v>
      </c>
      <c r="K10" s="16" t="s">
        <v>54</v>
      </c>
      <c r="L10" s="16" t="s">
        <v>54</v>
      </c>
      <c r="M10" s="16" t="s">
        <v>50</v>
      </c>
      <c r="N10" s="17" t="s">
        <v>56</v>
      </c>
    </row>
    <row r="11" spans="1:14" x14ac:dyDescent="0.3">
      <c r="A11" s="13">
        <v>46252</v>
      </c>
      <c r="B11" s="14">
        <v>480</v>
      </c>
      <c r="C11" s="14">
        <v>40</v>
      </c>
      <c r="D11" s="14">
        <v>90</v>
      </c>
      <c r="E11" s="14">
        <v>90</v>
      </c>
      <c r="F11" s="14">
        <v>200</v>
      </c>
      <c r="G11" s="14">
        <v>4</v>
      </c>
      <c r="H11" s="14">
        <v>300</v>
      </c>
      <c r="I11" s="15">
        <f t="shared" si="2"/>
        <v>1200</v>
      </c>
      <c r="J11" s="15">
        <f t="shared" si="3"/>
        <v>240</v>
      </c>
      <c r="K11" s="16" t="s">
        <v>63</v>
      </c>
      <c r="L11" s="16" t="s">
        <v>57</v>
      </c>
      <c r="M11" s="16" t="s">
        <v>61</v>
      </c>
      <c r="N11" s="17" t="s">
        <v>58</v>
      </c>
    </row>
    <row r="12" spans="1:14" x14ac:dyDescent="0.3">
      <c r="A12" s="13">
        <v>46253</v>
      </c>
      <c r="B12" s="14">
        <v>400</v>
      </c>
      <c r="C12" s="14">
        <v>15</v>
      </c>
      <c r="D12" s="14">
        <v>90</v>
      </c>
      <c r="E12" s="14">
        <v>65</v>
      </c>
      <c r="F12" s="14">
        <v>400</v>
      </c>
      <c r="G12" s="14">
        <v>8</v>
      </c>
      <c r="H12" s="14">
        <v>300</v>
      </c>
      <c r="I12" s="15">
        <f t="shared" si="0"/>
        <v>1270</v>
      </c>
      <c r="J12" s="15">
        <f t="shared" si="1"/>
        <v>170</v>
      </c>
      <c r="K12" s="16" t="s">
        <v>64</v>
      </c>
      <c r="L12" s="16" t="s">
        <v>54</v>
      </c>
      <c r="M12" s="16" t="s">
        <v>50</v>
      </c>
      <c r="N12" s="17" t="s">
        <v>65</v>
      </c>
    </row>
    <row r="13" spans="1:14" x14ac:dyDescent="0.3">
      <c r="A13" s="13">
        <v>46254</v>
      </c>
      <c r="B13" s="14">
        <v>420</v>
      </c>
      <c r="C13" s="14">
        <v>25</v>
      </c>
      <c r="D13" s="14">
        <v>80</v>
      </c>
      <c r="E13" s="14">
        <v>75</v>
      </c>
      <c r="F13" s="14">
        <v>250</v>
      </c>
      <c r="G13" s="14">
        <v>5</v>
      </c>
      <c r="H13" s="14">
        <v>400</v>
      </c>
      <c r="I13" s="15">
        <f t="shared" si="0"/>
        <v>1250</v>
      </c>
      <c r="J13" s="15">
        <f t="shared" si="1"/>
        <v>190</v>
      </c>
      <c r="K13" s="16" t="s">
        <v>49</v>
      </c>
      <c r="L13" s="16" t="s">
        <v>54</v>
      </c>
      <c r="M13" s="16" t="s">
        <v>50</v>
      </c>
      <c r="N13" s="17" t="s">
        <v>60</v>
      </c>
    </row>
    <row r="14" spans="1:14" x14ac:dyDescent="0.3">
      <c r="A14" s="13">
        <v>46255</v>
      </c>
      <c r="B14" s="14">
        <v>450</v>
      </c>
      <c r="C14" s="14">
        <v>50</v>
      </c>
      <c r="D14" s="14">
        <v>95</v>
      </c>
      <c r="E14" s="14">
        <v>85</v>
      </c>
      <c r="F14" s="14">
        <v>300</v>
      </c>
      <c r="G14" s="14">
        <v>6</v>
      </c>
      <c r="H14" s="14">
        <v>400</v>
      </c>
      <c r="I14" s="15">
        <f t="shared" si="0"/>
        <v>1380</v>
      </c>
      <c r="J14" s="15">
        <f t="shared" si="1"/>
        <v>60</v>
      </c>
      <c r="K14" s="16" t="s">
        <v>54</v>
      </c>
      <c r="L14" s="16" t="s">
        <v>66</v>
      </c>
      <c r="M14" s="16" t="s">
        <v>64</v>
      </c>
      <c r="N14" s="17" t="s">
        <v>62</v>
      </c>
    </row>
    <row r="15" spans="1:14" x14ac:dyDescent="0.3">
      <c r="A15" s="13">
        <v>46258</v>
      </c>
      <c r="B15" s="14">
        <v>380</v>
      </c>
      <c r="C15" s="14">
        <v>20</v>
      </c>
      <c r="D15" s="14">
        <v>85</v>
      </c>
      <c r="E15" s="14">
        <v>120</v>
      </c>
      <c r="F15" s="14">
        <v>100</v>
      </c>
      <c r="G15" s="14">
        <v>2</v>
      </c>
      <c r="H15" s="14">
        <v>450</v>
      </c>
      <c r="I15" s="15">
        <f t="shared" si="0"/>
        <v>1155</v>
      </c>
      <c r="J15" s="15">
        <f t="shared" si="1"/>
        <v>285</v>
      </c>
      <c r="K15" s="16" t="s">
        <v>49</v>
      </c>
      <c r="L15" s="16" t="s">
        <v>54</v>
      </c>
      <c r="M15" s="16" t="s">
        <v>50</v>
      </c>
      <c r="N15" s="17" t="s">
        <v>69</v>
      </c>
    </row>
    <row r="16" spans="1:14" x14ac:dyDescent="0.3">
      <c r="A16" s="13">
        <v>46259</v>
      </c>
      <c r="B16" s="14">
        <v>400</v>
      </c>
      <c r="C16" s="14">
        <v>40</v>
      </c>
      <c r="D16" s="14">
        <v>75</v>
      </c>
      <c r="E16" s="14">
        <v>50</v>
      </c>
      <c r="F16" s="14">
        <v>300</v>
      </c>
      <c r="G16" s="14">
        <v>6</v>
      </c>
      <c r="H16" s="14">
        <v>400</v>
      </c>
      <c r="I16" s="15">
        <f t="shared" si="0"/>
        <v>1265</v>
      </c>
      <c r="J16" s="15">
        <f t="shared" si="1"/>
        <v>175</v>
      </c>
      <c r="K16" s="16" t="s">
        <v>54</v>
      </c>
      <c r="L16" s="16" t="s">
        <v>57</v>
      </c>
      <c r="M16" s="16" t="s">
        <v>61</v>
      </c>
      <c r="N16" s="17" t="s">
        <v>58</v>
      </c>
    </row>
    <row r="17" spans="1:14" x14ac:dyDescent="0.3">
      <c r="A17" s="13">
        <v>46260</v>
      </c>
      <c r="B17" s="14">
        <v>420</v>
      </c>
      <c r="C17" s="14">
        <v>45</v>
      </c>
      <c r="D17" s="14">
        <v>60</v>
      </c>
      <c r="E17" s="14">
        <v>65</v>
      </c>
      <c r="F17" s="14">
        <v>400</v>
      </c>
      <c r="G17" s="14">
        <v>8</v>
      </c>
      <c r="H17" s="14">
        <v>300</v>
      </c>
      <c r="I17" s="15">
        <f t="shared" si="0"/>
        <v>1290</v>
      </c>
      <c r="J17" s="15">
        <f t="shared" si="1"/>
        <v>150</v>
      </c>
      <c r="K17" s="16" t="s">
        <v>49</v>
      </c>
      <c r="L17" s="16" t="s">
        <v>54</v>
      </c>
      <c r="M17" s="16" t="s">
        <v>50</v>
      </c>
      <c r="N17" s="17" t="s">
        <v>65</v>
      </c>
    </row>
    <row r="18" spans="1:14" x14ac:dyDescent="0.3">
      <c r="A18" s="13">
        <v>46261</v>
      </c>
      <c r="B18" s="14">
        <v>400</v>
      </c>
      <c r="C18" s="14">
        <v>45</v>
      </c>
      <c r="D18" s="14">
        <v>45</v>
      </c>
      <c r="E18" s="14">
        <v>75</v>
      </c>
      <c r="F18" s="14">
        <v>250</v>
      </c>
      <c r="G18" s="14">
        <v>5</v>
      </c>
      <c r="H18" s="14">
        <v>400</v>
      </c>
      <c r="I18" s="15">
        <f t="shared" si="0"/>
        <v>1215</v>
      </c>
      <c r="J18" s="15">
        <f t="shared" si="1"/>
        <v>225</v>
      </c>
      <c r="K18" s="16" t="s">
        <v>49</v>
      </c>
      <c r="L18" s="16" t="s">
        <v>54</v>
      </c>
      <c r="M18" s="16" t="s">
        <v>64</v>
      </c>
      <c r="N18" s="17" t="s">
        <v>60</v>
      </c>
    </row>
    <row r="19" spans="1:14" x14ac:dyDescent="0.3">
      <c r="A19" s="13">
        <v>46262</v>
      </c>
      <c r="B19" s="14">
        <v>350</v>
      </c>
      <c r="C19" s="14">
        <v>15</v>
      </c>
      <c r="D19" s="14">
        <v>15</v>
      </c>
      <c r="E19" s="14">
        <v>25</v>
      </c>
      <c r="F19" s="14">
        <v>300</v>
      </c>
      <c r="G19" s="14">
        <v>6</v>
      </c>
      <c r="H19" s="14">
        <v>450</v>
      </c>
      <c r="I19" s="15">
        <f t="shared" si="0"/>
        <v>1155</v>
      </c>
      <c r="J19" s="15">
        <f t="shared" si="1"/>
        <v>285</v>
      </c>
      <c r="K19" s="16" t="s">
        <v>54</v>
      </c>
      <c r="L19" s="16" t="s">
        <v>54</v>
      </c>
      <c r="M19" s="16" t="s">
        <v>50</v>
      </c>
      <c r="N19" s="17" t="s">
        <v>62</v>
      </c>
    </row>
    <row r="20" spans="1:14" x14ac:dyDescent="0.3">
      <c r="A20" s="13">
        <v>46265</v>
      </c>
      <c r="B20" s="14">
        <v>450</v>
      </c>
      <c r="C20" s="14">
        <v>45</v>
      </c>
      <c r="D20" s="14">
        <v>40</v>
      </c>
      <c r="E20" s="14">
        <v>25</v>
      </c>
      <c r="F20" s="14">
        <v>100</v>
      </c>
      <c r="G20" s="14">
        <v>2</v>
      </c>
      <c r="H20" s="14">
        <v>400</v>
      </c>
      <c r="I20" s="15">
        <f t="shared" si="0"/>
        <v>1060</v>
      </c>
      <c r="J20" s="15">
        <f t="shared" si="1"/>
        <v>380</v>
      </c>
      <c r="K20" s="16" t="s">
        <v>63</v>
      </c>
      <c r="L20" s="16" t="s">
        <v>57</v>
      </c>
      <c r="M20" s="16" t="s">
        <v>50</v>
      </c>
      <c r="N20" s="17" t="s">
        <v>70</v>
      </c>
    </row>
    <row r="21" spans="1:14" x14ac:dyDescent="0.3">
      <c r="A21" s="13">
        <v>46266</v>
      </c>
      <c r="B21" s="14">
        <v>400</v>
      </c>
      <c r="C21" s="14">
        <v>35</v>
      </c>
      <c r="D21" s="14">
        <v>60</v>
      </c>
      <c r="E21" s="14">
        <v>50</v>
      </c>
      <c r="F21" s="14">
        <v>200</v>
      </c>
      <c r="G21" s="14">
        <v>4</v>
      </c>
      <c r="H21" s="14">
        <v>350</v>
      </c>
      <c r="I21" s="15">
        <f t="shared" ref="I21:I24" si="4">IF(SUM(B21:F21,H21)=0,"",SUM(B21:F21,H21))</f>
        <v>1095</v>
      </c>
      <c r="J21" s="15">
        <f t="shared" ref="J21:J24" si="5">IF(I21="","",1440-I21)</f>
        <v>345</v>
      </c>
      <c r="K21" s="16" t="s">
        <v>54</v>
      </c>
      <c r="L21" s="16" t="s">
        <v>57</v>
      </c>
      <c r="M21" s="16" t="s">
        <v>61</v>
      </c>
      <c r="N21" s="17" t="s">
        <v>58</v>
      </c>
    </row>
    <row r="22" spans="1:14" x14ac:dyDescent="0.3">
      <c r="A22" s="13">
        <v>46267</v>
      </c>
      <c r="B22" s="14">
        <v>450</v>
      </c>
      <c r="C22" s="14">
        <v>40</v>
      </c>
      <c r="D22" s="14">
        <v>100</v>
      </c>
      <c r="E22" s="14">
        <v>60</v>
      </c>
      <c r="F22" s="14">
        <v>250</v>
      </c>
      <c r="G22" s="14">
        <v>5</v>
      </c>
      <c r="H22" s="14">
        <v>400</v>
      </c>
      <c r="I22" s="15">
        <f t="shared" si="4"/>
        <v>1300</v>
      </c>
      <c r="J22" s="15">
        <f t="shared" si="5"/>
        <v>140</v>
      </c>
      <c r="K22" s="16" t="s">
        <v>54</v>
      </c>
      <c r="L22" s="16" t="s">
        <v>57</v>
      </c>
      <c r="M22" s="16" t="s">
        <v>61</v>
      </c>
      <c r="N22" s="17" t="s">
        <v>65</v>
      </c>
    </row>
    <row r="23" spans="1:14" x14ac:dyDescent="0.3">
      <c r="A23" s="13">
        <v>46268</v>
      </c>
      <c r="B23" s="14">
        <v>300</v>
      </c>
      <c r="C23" s="14">
        <v>60</v>
      </c>
      <c r="D23" s="14">
        <v>120</v>
      </c>
      <c r="E23" s="14">
        <v>40</v>
      </c>
      <c r="F23" s="14">
        <v>300</v>
      </c>
      <c r="G23" s="14">
        <v>6</v>
      </c>
      <c r="H23" s="14">
        <v>350</v>
      </c>
      <c r="I23" s="15">
        <f t="shared" si="4"/>
        <v>1170</v>
      </c>
      <c r="J23" s="15">
        <f t="shared" si="5"/>
        <v>270</v>
      </c>
      <c r="K23" s="16" t="s">
        <v>49</v>
      </c>
      <c r="L23" s="16" t="s">
        <v>57</v>
      </c>
      <c r="M23" s="16" t="s">
        <v>50</v>
      </c>
      <c r="N23" s="17" t="s">
        <v>60</v>
      </c>
    </row>
    <row r="24" spans="1:14" x14ac:dyDescent="0.3">
      <c r="A24" s="13">
        <v>46269</v>
      </c>
      <c r="B24" s="14">
        <v>350</v>
      </c>
      <c r="C24" s="14">
        <v>45</v>
      </c>
      <c r="D24" s="14">
        <v>60</v>
      </c>
      <c r="E24" s="14">
        <v>90</v>
      </c>
      <c r="F24" s="14">
        <v>350</v>
      </c>
      <c r="G24" s="14">
        <v>7</v>
      </c>
      <c r="H24" s="14">
        <v>350</v>
      </c>
      <c r="I24" s="15">
        <f t="shared" si="4"/>
        <v>1245</v>
      </c>
      <c r="J24" s="15">
        <f t="shared" si="5"/>
        <v>195</v>
      </c>
      <c r="K24" s="16" t="s">
        <v>64</v>
      </c>
      <c r="L24" s="16" t="s">
        <v>54</v>
      </c>
      <c r="M24" s="16" t="s">
        <v>50</v>
      </c>
      <c r="N24" s="17" t="s">
        <v>62</v>
      </c>
    </row>
    <row r="25" spans="1:14" x14ac:dyDescent="0.3">
      <c r="A25" s="13">
        <v>46272</v>
      </c>
      <c r="B25" s="14">
        <v>350</v>
      </c>
      <c r="C25" s="14">
        <v>50</v>
      </c>
      <c r="D25" s="14">
        <v>100</v>
      </c>
      <c r="E25" s="14">
        <v>40</v>
      </c>
      <c r="F25" s="14">
        <v>100</v>
      </c>
      <c r="G25" s="14">
        <v>2</v>
      </c>
      <c r="H25" s="14">
        <v>400</v>
      </c>
      <c r="I25" s="15">
        <f>IF(SUM(B25:F25,H25)=0,"",SUM(B25:F25,H25))</f>
        <v>1040</v>
      </c>
      <c r="J25" s="15">
        <f>IF(I25="","",1440-I25)</f>
        <v>400</v>
      </c>
      <c r="K25" s="16" t="s">
        <v>49</v>
      </c>
      <c r="L25" s="16" t="s">
        <v>57</v>
      </c>
      <c r="M25" s="16" t="s">
        <v>61</v>
      </c>
      <c r="N25" s="17" t="s">
        <v>65</v>
      </c>
    </row>
    <row r="26" spans="1:14" x14ac:dyDescent="0.3">
      <c r="A26" s="13">
        <v>46273</v>
      </c>
      <c r="B26" s="14">
        <v>500</v>
      </c>
      <c r="C26" s="14">
        <v>40</v>
      </c>
      <c r="D26" s="14">
        <v>150</v>
      </c>
      <c r="E26" s="14">
        <v>50</v>
      </c>
      <c r="F26" s="14">
        <v>250</v>
      </c>
      <c r="G26" s="14">
        <v>5</v>
      </c>
      <c r="H26" s="14">
        <v>350</v>
      </c>
      <c r="I26" s="15">
        <f>IF(SUM(B26:F26,H26)=0,"",SUM(B26:F26,H26))</f>
        <v>1340</v>
      </c>
      <c r="J26" s="15">
        <f>IF(I26="","",1440-I26)</f>
        <v>100</v>
      </c>
      <c r="K26" s="16" t="s">
        <v>49</v>
      </c>
      <c r="L26" s="16" t="s">
        <v>66</v>
      </c>
      <c r="M26" s="16" t="s">
        <v>64</v>
      </c>
      <c r="N26" s="17" t="s">
        <v>60</v>
      </c>
    </row>
    <row r="27" spans="1:14" x14ac:dyDescent="0.3">
      <c r="A27" s="13">
        <v>46274</v>
      </c>
      <c r="B27" s="14">
        <v>600</v>
      </c>
      <c r="C27" s="14">
        <v>35</v>
      </c>
      <c r="D27" s="14">
        <v>120</v>
      </c>
      <c r="E27" s="14">
        <v>40</v>
      </c>
      <c r="F27" s="14">
        <v>200</v>
      </c>
      <c r="G27" s="14">
        <v>4</v>
      </c>
      <c r="H27" s="14">
        <v>300</v>
      </c>
      <c r="I27" s="15">
        <f>IF(SUM(B27:F27,H27)=0,"",SUM(B27:F27,H27))</f>
        <v>1295</v>
      </c>
      <c r="J27" s="15">
        <f>IF(I27="","",1440-I27)</f>
        <v>145</v>
      </c>
      <c r="K27" s="16" t="s">
        <v>49</v>
      </c>
      <c r="L27" s="16" t="s">
        <v>54</v>
      </c>
      <c r="M27" s="16" t="s">
        <v>50</v>
      </c>
      <c r="N27" s="17" t="s">
        <v>62</v>
      </c>
    </row>
    <row r="28" spans="1:14" x14ac:dyDescent="0.3">
      <c r="A28" s="13">
        <v>46275</v>
      </c>
      <c r="B28" s="14">
        <v>450</v>
      </c>
      <c r="C28" s="14">
        <v>30</v>
      </c>
      <c r="D28" s="14">
        <v>90</v>
      </c>
      <c r="E28" s="14">
        <v>60</v>
      </c>
      <c r="F28" s="14">
        <v>300</v>
      </c>
      <c r="G28" s="14">
        <v>6</v>
      </c>
      <c r="H28" s="14">
        <v>350</v>
      </c>
      <c r="I28" s="15">
        <f>IF(SUM(B28:F28,H28)=0,"",SUM(B28:F28,H28))</f>
        <v>1280</v>
      </c>
      <c r="J28" s="15">
        <f>IF(I28="","",1440-I28)</f>
        <v>160</v>
      </c>
      <c r="K28" s="16" t="s">
        <v>64</v>
      </c>
      <c r="L28" s="16" t="s">
        <v>57</v>
      </c>
      <c r="M28" s="16" t="s">
        <v>61</v>
      </c>
      <c r="N28" s="17" t="s">
        <v>71</v>
      </c>
    </row>
    <row r="29" spans="1:14" x14ac:dyDescent="0.3">
      <c r="A29" s="13">
        <v>46276</v>
      </c>
      <c r="B29" s="14">
        <v>500</v>
      </c>
      <c r="C29" s="14">
        <v>45</v>
      </c>
      <c r="D29" s="14">
        <v>80</v>
      </c>
      <c r="E29" s="14">
        <v>60</v>
      </c>
      <c r="F29" s="14">
        <v>400</v>
      </c>
      <c r="G29" s="14">
        <v>8</v>
      </c>
      <c r="H29" s="14">
        <v>300</v>
      </c>
      <c r="I29" s="15">
        <f>IF(SUM(B29:F29,H29)=0,"",SUM(B29:F29,H29))</f>
        <v>1385</v>
      </c>
      <c r="J29" s="15">
        <f>IF(I29="","",1440-I29)</f>
        <v>55</v>
      </c>
      <c r="K29" s="16" t="s">
        <v>64</v>
      </c>
      <c r="L29" s="16" t="s">
        <v>54</v>
      </c>
      <c r="M29" s="16" t="s">
        <v>50</v>
      </c>
      <c r="N29" s="17" t="s">
        <v>58</v>
      </c>
    </row>
    <row r="30" spans="1:14" x14ac:dyDescent="0.3">
      <c r="A30" s="13">
        <v>46279</v>
      </c>
      <c r="B30" s="14">
        <v>500</v>
      </c>
      <c r="C30" s="14">
        <v>45</v>
      </c>
      <c r="D30" s="14">
        <v>100</v>
      </c>
      <c r="E30" s="14">
        <v>50</v>
      </c>
      <c r="F30" s="14">
        <v>300</v>
      </c>
      <c r="G30" s="14">
        <v>6</v>
      </c>
      <c r="H30" s="14">
        <v>400</v>
      </c>
      <c r="I30" s="15">
        <v>1060</v>
      </c>
      <c r="J30" s="15">
        <v>380</v>
      </c>
      <c r="K30" s="16" t="s">
        <v>64</v>
      </c>
      <c r="L30" s="16" t="s">
        <v>54</v>
      </c>
      <c r="M30" s="16" t="s">
        <v>50</v>
      </c>
      <c r="N30" s="17" t="s">
        <v>62</v>
      </c>
    </row>
    <row r="31" spans="1:14" x14ac:dyDescent="0.3">
      <c r="A31" s="13">
        <v>46280</v>
      </c>
      <c r="B31" s="14">
        <v>550</v>
      </c>
      <c r="C31" s="14">
        <v>30</v>
      </c>
      <c r="D31" s="14">
        <v>80</v>
      </c>
      <c r="E31" s="14">
        <v>55</v>
      </c>
      <c r="F31" s="14">
        <v>250</v>
      </c>
      <c r="G31" s="14">
        <v>5</v>
      </c>
      <c r="H31" s="14">
        <v>350</v>
      </c>
      <c r="I31" s="15">
        <f t="shared" ref="I31:I34" si="6">IF(SUM(B31:F31,H31)=0,"",SUM(B31:F31,H31))</f>
        <v>1315</v>
      </c>
      <c r="J31" s="15">
        <f t="shared" ref="J31:J34" si="7">IF(I31="","",1440-I31)</f>
        <v>125</v>
      </c>
      <c r="K31" s="16" t="s">
        <v>54</v>
      </c>
      <c r="L31" s="16" t="s">
        <v>57</v>
      </c>
      <c r="M31" s="16" t="s">
        <v>61</v>
      </c>
      <c r="N31" s="17" t="s">
        <v>72</v>
      </c>
    </row>
    <row r="32" spans="1:14" x14ac:dyDescent="0.3">
      <c r="A32" s="13">
        <v>46281</v>
      </c>
      <c r="B32" s="14">
        <v>400</v>
      </c>
      <c r="C32" s="14">
        <v>40</v>
      </c>
      <c r="D32" s="14">
        <v>90</v>
      </c>
      <c r="E32" s="14">
        <v>45</v>
      </c>
      <c r="F32" s="14">
        <v>300</v>
      </c>
      <c r="G32" s="14">
        <v>6</v>
      </c>
      <c r="H32" s="14">
        <v>400</v>
      </c>
      <c r="I32" s="15">
        <f t="shared" si="6"/>
        <v>1275</v>
      </c>
      <c r="J32" s="15">
        <f t="shared" si="7"/>
        <v>165</v>
      </c>
      <c r="K32" s="16" t="s">
        <v>64</v>
      </c>
      <c r="L32" s="16" t="s">
        <v>54</v>
      </c>
      <c r="M32" s="16" t="s">
        <v>50</v>
      </c>
      <c r="N32" s="17" t="s">
        <v>58</v>
      </c>
    </row>
    <row r="33" spans="1:14" x14ac:dyDescent="0.3">
      <c r="A33" s="13">
        <v>46282</v>
      </c>
      <c r="B33" s="14">
        <v>450</v>
      </c>
      <c r="C33" s="14">
        <v>20</v>
      </c>
      <c r="D33" s="14">
        <v>60</v>
      </c>
      <c r="E33" s="14">
        <v>60</v>
      </c>
      <c r="F33" s="14">
        <v>350</v>
      </c>
      <c r="G33" s="14">
        <v>7</v>
      </c>
      <c r="H33" s="14">
        <v>400</v>
      </c>
      <c r="I33" s="15">
        <f t="shared" si="6"/>
        <v>1340</v>
      </c>
      <c r="J33" s="15">
        <f t="shared" si="7"/>
        <v>100</v>
      </c>
      <c r="K33" s="16" t="s">
        <v>64</v>
      </c>
      <c r="L33" s="16" t="s">
        <v>54</v>
      </c>
      <c r="M33" s="16" t="s">
        <v>50</v>
      </c>
      <c r="N33" s="17" t="s">
        <v>65</v>
      </c>
    </row>
    <row r="34" spans="1:14" x14ac:dyDescent="0.3">
      <c r="A34" s="13">
        <v>46283</v>
      </c>
      <c r="B34" s="14">
        <v>500</v>
      </c>
      <c r="C34" s="14">
        <v>15</v>
      </c>
      <c r="D34" s="14">
        <v>100</v>
      </c>
      <c r="E34" s="14">
        <v>45</v>
      </c>
      <c r="F34" s="14">
        <v>400</v>
      </c>
      <c r="G34" s="14">
        <v>8</v>
      </c>
      <c r="H34" s="14">
        <v>300</v>
      </c>
      <c r="I34" s="15">
        <f t="shared" si="6"/>
        <v>1360</v>
      </c>
      <c r="J34" s="15">
        <f t="shared" si="7"/>
        <v>80</v>
      </c>
      <c r="K34" s="16" t="s">
        <v>67</v>
      </c>
      <c r="L34" s="16" t="s">
        <v>73</v>
      </c>
      <c r="M34" s="16" t="s">
        <v>64</v>
      </c>
      <c r="N34" s="17" t="s">
        <v>60</v>
      </c>
    </row>
    <row r="35" spans="1:14" x14ac:dyDescent="0.3">
      <c r="A35" s="13">
        <v>46286</v>
      </c>
      <c r="B35" s="14">
        <v>500</v>
      </c>
      <c r="C35" s="14">
        <v>35</v>
      </c>
      <c r="D35" s="14">
        <v>120</v>
      </c>
      <c r="E35" s="14">
        <v>60</v>
      </c>
      <c r="F35" s="14">
        <v>200</v>
      </c>
      <c r="G35" s="14">
        <v>4</v>
      </c>
      <c r="H35" s="14">
        <v>400</v>
      </c>
      <c r="I35" s="15">
        <f>IF(SUM(B35:F35,H35)=0,"",SUM(B35:F35,H35))</f>
        <v>1315</v>
      </c>
      <c r="J35" s="15">
        <f>IF(I35="","",1440-I35)</f>
        <v>125</v>
      </c>
      <c r="K35" s="16" t="s">
        <v>54</v>
      </c>
      <c r="L35" s="16" t="s">
        <v>57</v>
      </c>
      <c r="M35" s="16" t="s">
        <v>61</v>
      </c>
      <c r="N35" s="17" t="s">
        <v>58</v>
      </c>
    </row>
    <row r="36" spans="1:14" x14ac:dyDescent="0.3">
      <c r="A36" s="13">
        <v>46287</v>
      </c>
      <c r="B36" s="14">
        <v>450</v>
      </c>
      <c r="C36" s="14">
        <v>40</v>
      </c>
      <c r="D36" s="14">
        <v>100</v>
      </c>
      <c r="E36" s="14">
        <v>70</v>
      </c>
      <c r="F36" s="14">
        <v>300</v>
      </c>
      <c r="G36" s="14">
        <v>6</v>
      </c>
      <c r="H36" s="14">
        <v>350</v>
      </c>
      <c r="I36" s="15">
        <f>IF(SUM(B36:F36,H36)=0,"",SUM(B36:F36,H36))</f>
        <v>1310</v>
      </c>
      <c r="J36" s="15">
        <f>IF(I36="","",1440-I36)</f>
        <v>130</v>
      </c>
      <c r="K36" s="16" t="s">
        <v>54</v>
      </c>
      <c r="L36" s="16" t="s">
        <v>57</v>
      </c>
      <c r="M36" s="16" t="s">
        <v>61</v>
      </c>
      <c r="N36" s="17" t="s">
        <v>65</v>
      </c>
    </row>
    <row r="37" spans="1:14" x14ac:dyDescent="0.3">
      <c r="A37" s="13"/>
      <c r="B37" s="14"/>
      <c r="C37" s="14"/>
      <c r="D37" s="14"/>
      <c r="E37" s="14"/>
      <c r="F37" s="14"/>
      <c r="G37" s="14"/>
      <c r="H37" s="14"/>
      <c r="I37" s="15"/>
      <c r="J37" s="15"/>
      <c r="K37" s="16"/>
      <c r="L37" s="16"/>
      <c r="M37" s="16"/>
      <c r="N37" s="17"/>
    </row>
    <row r="38" spans="1:14" x14ac:dyDescent="0.3">
      <c r="A38" s="13"/>
      <c r="B38" s="14"/>
      <c r="C38" s="14"/>
      <c r="D38" s="14"/>
      <c r="E38" s="14"/>
      <c r="F38" s="14"/>
      <c r="G38" s="14"/>
      <c r="H38" s="14"/>
      <c r="I38" s="15"/>
      <c r="J38" s="15"/>
      <c r="K38" s="16"/>
      <c r="L38" s="16"/>
      <c r="M38" s="16"/>
      <c r="N38" s="17"/>
    </row>
    <row r="39" spans="1:14" x14ac:dyDescent="0.3">
      <c r="A39" s="13"/>
      <c r="B39" s="14"/>
      <c r="C39" s="14"/>
      <c r="D39" s="14"/>
      <c r="E39" s="14"/>
      <c r="F39" s="14"/>
      <c r="G39" s="14"/>
      <c r="H39" s="14"/>
      <c r="I39" s="15"/>
      <c r="J39" s="15"/>
      <c r="K39" s="16"/>
      <c r="L39" s="16"/>
      <c r="M39" s="16"/>
      <c r="N39" s="17"/>
    </row>
    <row r="40" spans="1:14" x14ac:dyDescent="0.3">
      <c r="A40" s="13"/>
      <c r="B40" s="14"/>
      <c r="C40" s="14"/>
      <c r="D40" s="14"/>
      <c r="E40" s="14"/>
      <c r="F40" s="14"/>
      <c r="G40" s="14"/>
      <c r="H40" s="14"/>
      <c r="I40" s="15"/>
      <c r="J40" s="15"/>
      <c r="K40" s="16"/>
      <c r="L40" s="16"/>
      <c r="M40" s="16"/>
      <c r="N40" s="17"/>
    </row>
    <row r="41" spans="1:14" x14ac:dyDescent="0.3">
      <c r="A41" s="13"/>
      <c r="B41" s="14"/>
      <c r="C41" s="14"/>
      <c r="D41" s="14"/>
      <c r="E41" s="14"/>
      <c r="F41" s="14"/>
      <c r="G41" s="14"/>
      <c r="H41" s="14"/>
      <c r="I41" s="15"/>
      <c r="J41" s="15"/>
      <c r="K41" s="16"/>
      <c r="L41" s="16"/>
      <c r="M41" s="16"/>
      <c r="N41" s="17"/>
    </row>
    <row r="42" spans="1:14" x14ac:dyDescent="0.3">
      <c r="A42" s="13"/>
      <c r="B42" s="14"/>
      <c r="C42" s="14"/>
      <c r="D42" s="14"/>
      <c r="E42" s="14"/>
      <c r="F42" s="14"/>
      <c r="G42" s="14"/>
      <c r="H42" s="14"/>
      <c r="I42" s="15"/>
      <c r="J42" s="15"/>
      <c r="K42" s="16"/>
      <c r="L42" s="16"/>
      <c r="M42" s="16"/>
      <c r="N42" s="17"/>
    </row>
    <row r="43" spans="1:14" x14ac:dyDescent="0.3">
      <c r="A43" s="13"/>
      <c r="B43" s="14"/>
      <c r="C43" s="14"/>
      <c r="D43" s="14"/>
      <c r="E43" s="14"/>
      <c r="F43" s="14"/>
      <c r="G43" s="14"/>
      <c r="H43" s="14"/>
      <c r="I43" s="15"/>
      <c r="J43" s="15"/>
      <c r="K43" s="16"/>
      <c r="L43" s="16"/>
      <c r="M43" s="16"/>
      <c r="N43" s="17"/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/>
      <c r="J44" s="15"/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/>
      <c r="J45" s="15"/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/>
      <c r="J46" s="15"/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/>
      <c r="J47" s="15"/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/>
      <c r="J48" s="15"/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8">IF(SUM(B70:F70,H70)=0,"",SUM(B70:F70,H70))</f>
        <v/>
      </c>
      <c r="J70" s="15" t="str">
        <f t="shared" ref="J70:J133" si="9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8"/>
        <v/>
      </c>
      <c r="J71" s="15" t="str">
        <f t="shared" si="9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8"/>
        <v/>
      </c>
      <c r="J72" s="15" t="str">
        <f t="shared" si="9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8"/>
        <v/>
      </c>
      <c r="J73" s="15" t="str">
        <f t="shared" si="9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8"/>
        <v/>
      </c>
      <c r="J74" s="15" t="str">
        <f t="shared" si="9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8"/>
        <v/>
      </c>
      <c r="J75" s="15" t="str">
        <f t="shared" si="9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8"/>
        <v/>
      </c>
      <c r="J76" s="15" t="str">
        <f t="shared" si="9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8"/>
        <v/>
      </c>
      <c r="J77" s="15" t="str">
        <f t="shared" si="9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8"/>
        <v/>
      </c>
      <c r="J78" s="15" t="str">
        <f t="shared" si="9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8"/>
        <v/>
      </c>
      <c r="J79" s="15" t="str">
        <f t="shared" si="9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8"/>
        <v/>
      </c>
      <c r="J80" s="15" t="str">
        <f t="shared" si="9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8"/>
        <v/>
      </c>
      <c r="J81" s="15" t="str">
        <f t="shared" si="9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8"/>
        <v/>
      </c>
      <c r="J82" s="15" t="str">
        <f t="shared" si="9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8"/>
        <v/>
      </c>
      <c r="J83" s="15" t="str">
        <f t="shared" si="9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8"/>
        <v/>
      </c>
      <c r="J84" s="15" t="str">
        <f t="shared" si="9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8"/>
        <v/>
      </c>
      <c r="J85" s="15" t="str">
        <f t="shared" si="9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8"/>
        <v/>
      </c>
      <c r="J86" s="15" t="str">
        <f t="shared" si="9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8"/>
        <v/>
      </c>
      <c r="J87" s="15" t="str">
        <f t="shared" si="9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8"/>
        <v/>
      </c>
      <c r="J88" s="15" t="str">
        <f t="shared" si="9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8"/>
        <v/>
      </c>
      <c r="J89" s="15" t="str">
        <f t="shared" si="9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8"/>
        <v/>
      </c>
      <c r="J90" s="15" t="str">
        <f t="shared" si="9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8"/>
        <v/>
      </c>
      <c r="J91" s="15" t="str">
        <f t="shared" si="9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8"/>
        <v/>
      </c>
      <c r="J92" s="15" t="str">
        <f t="shared" si="9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8"/>
        <v/>
      </c>
      <c r="J93" s="15" t="str">
        <f t="shared" si="9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8"/>
        <v/>
      </c>
      <c r="J94" s="15" t="str">
        <f t="shared" si="9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8"/>
        <v/>
      </c>
      <c r="J95" s="15" t="str">
        <f t="shared" si="9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8"/>
        <v/>
      </c>
      <c r="J96" s="15" t="str">
        <f t="shared" si="9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8"/>
        <v/>
      </c>
      <c r="J97" s="15" t="str">
        <f t="shared" si="9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8"/>
        <v/>
      </c>
      <c r="J98" s="15" t="str">
        <f t="shared" si="9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8"/>
        <v/>
      </c>
      <c r="J99" s="15" t="str">
        <f t="shared" si="9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8"/>
        <v/>
      </c>
      <c r="J100" s="15" t="str">
        <f t="shared" si="9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8"/>
        <v/>
      </c>
      <c r="J101" s="15" t="str">
        <f t="shared" si="9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8"/>
        <v/>
      </c>
      <c r="J102" s="15" t="str">
        <f t="shared" si="9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8"/>
        <v/>
      </c>
      <c r="J103" s="15" t="str">
        <f t="shared" si="9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8"/>
        <v/>
      </c>
      <c r="J104" s="15" t="str">
        <f t="shared" si="9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8"/>
        <v/>
      </c>
      <c r="J105" s="15" t="str">
        <f t="shared" si="9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8"/>
        <v/>
      </c>
      <c r="J106" s="15" t="str">
        <f t="shared" si="9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8"/>
        <v/>
      </c>
      <c r="J107" s="15" t="str">
        <f t="shared" si="9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8"/>
        <v/>
      </c>
      <c r="J108" s="15" t="str">
        <f t="shared" si="9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8"/>
        <v/>
      </c>
      <c r="J109" s="15" t="str">
        <f t="shared" si="9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8"/>
        <v/>
      </c>
      <c r="J110" s="15" t="str">
        <f t="shared" si="9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8"/>
        <v/>
      </c>
      <c r="J111" s="15" t="str">
        <f t="shared" si="9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8"/>
        <v/>
      </c>
      <c r="J112" s="15" t="str">
        <f t="shared" si="9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8"/>
        <v/>
      </c>
      <c r="J113" s="15" t="str">
        <f t="shared" si="9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8"/>
        <v/>
      </c>
      <c r="J114" s="15" t="str">
        <f t="shared" si="9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8"/>
        <v/>
      </c>
      <c r="J115" s="15" t="str">
        <f t="shared" si="9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8"/>
        <v/>
      </c>
      <c r="J116" s="15" t="str">
        <f t="shared" si="9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8"/>
        <v/>
      </c>
      <c r="J117" s="15" t="str">
        <f t="shared" si="9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8"/>
        <v/>
      </c>
      <c r="J118" s="15" t="str">
        <f t="shared" si="9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8"/>
        <v/>
      </c>
      <c r="J119" s="15" t="str">
        <f t="shared" si="9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8"/>
        <v/>
      </c>
      <c r="J120" s="15" t="str">
        <f t="shared" si="9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8"/>
        <v/>
      </c>
      <c r="J121" s="15" t="str">
        <f t="shared" si="9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8"/>
        <v/>
      </c>
      <c r="J122" s="15" t="str">
        <f t="shared" si="9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8"/>
        <v/>
      </c>
      <c r="J123" s="15" t="str">
        <f t="shared" si="9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8"/>
        <v/>
      </c>
      <c r="J124" s="15" t="str">
        <f t="shared" si="9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8"/>
        <v/>
      </c>
      <c r="J125" s="15" t="str">
        <f t="shared" si="9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8"/>
        <v/>
      </c>
      <c r="J126" s="15" t="str">
        <f t="shared" si="9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8"/>
        <v/>
      </c>
      <c r="J127" s="15" t="str">
        <f t="shared" si="9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8"/>
        <v/>
      </c>
      <c r="J128" s="15" t="str">
        <f t="shared" si="9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8"/>
        <v/>
      </c>
      <c r="J129" s="15" t="str">
        <f t="shared" si="9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8"/>
        <v/>
      </c>
      <c r="J130" s="15" t="str">
        <f t="shared" si="9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8"/>
        <v/>
      </c>
      <c r="J131" s="15" t="str">
        <f t="shared" si="9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8"/>
        <v/>
      </c>
      <c r="J132" s="15" t="str">
        <f t="shared" si="9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8"/>
        <v/>
      </c>
      <c r="J133" s="15" t="str">
        <f t="shared" si="9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10">IF(SUM(B134:F134,H134)=0,"",SUM(B134:F134,H134))</f>
        <v/>
      </c>
      <c r="J134" s="15" t="str">
        <f t="shared" ref="J134:J197" si="11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10"/>
        <v/>
      </c>
      <c r="J135" s="15" t="str">
        <f t="shared" si="11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10"/>
        <v/>
      </c>
      <c r="J136" s="15" t="str">
        <f t="shared" si="11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10"/>
        <v/>
      </c>
      <c r="J137" s="15" t="str">
        <f t="shared" si="11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10"/>
        <v/>
      </c>
      <c r="J138" s="15" t="str">
        <f t="shared" si="11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10"/>
        <v/>
      </c>
      <c r="J139" s="15" t="str">
        <f t="shared" si="11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10"/>
        <v/>
      </c>
      <c r="J140" s="15" t="str">
        <f t="shared" si="11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10"/>
        <v/>
      </c>
      <c r="J141" s="15" t="str">
        <f t="shared" si="11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10"/>
        <v/>
      </c>
      <c r="J142" s="15" t="str">
        <f t="shared" si="11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10"/>
        <v/>
      </c>
      <c r="J143" s="15" t="str">
        <f t="shared" si="11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10"/>
        <v/>
      </c>
      <c r="J144" s="15" t="str">
        <f t="shared" si="11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10"/>
        <v/>
      </c>
      <c r="J145" s="15" t="str">
        <f t="shared" si="11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10"/>
        <v/>
      </c>
      <c r="J146" s="15" t="str">
        <f t="shared" si="11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10"/>
        <v/>
      </c>
      <c r="J147" s="15" t="str">
        <f t="shared" si="11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10"/>
        <v/>
      </c>
      <c r="J148" s="15" t="str">
        <f t="shared" si="11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10"/>
        <v/>
      </c>
      <c r="J149" s="15" t="str">
        <f t="shared" si="11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10"/>
        <v/>
      </c>
      <c r="J150" s="15" t="str">
        <f t="shared" si="11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10"/>
        <v/>
      </c>
      <c r="J151" s="15" t="str">
        <f t="shared" si="11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10"/>
        <v/>
      </c>
      <c r="J152" s="15" t="str">
        <f t="shared" si="11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10"/>
        <v/>
      </c>
      <c r="J153" s="15" t="str">
        <f t="shared" si="11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10"/>
        <v/>
      </c>
      <c r="J154" s="15" t="str">
        <f t="shared" si="11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10"/>
        <v/>
      </c>
      <c r="J155" s="15" t="str">
        <f t="shared" si="11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10"/>
        <v/>
      </c>
      <c r="J156" s="15" t="str">
        <f t="shared" si="11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10"/>
        <v/>
      </c>
      <c r="J157" s="15" t="str">
        <f t="shared" si="11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10"/>
        <v/>
      </c>
      <c r="J158" s="15" t="str">
        <f t="shared" si="11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10"/>
        <v/>
      </c>
      <c r="J159" s="15" t="str">
        <f t="shared" si="11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10"/>
        <v/>
      </c>
      <c r="J160" s="15" t="str">
        <f t="shared" si="11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10"/>
        <v/>
      </c>
      <c r="J161" s="15" t="str">
        <f t="shared" si="11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10"/>
        <v/>
      </c>
      <c r="J162" s="15" t="str">
        <f t="shared" si="11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10"/>
        <v/>
      </c>
      <c r="J163" s="15" t="str">
        <f t="shared" si="11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10"/>
        <v/>
      </c>
      <c r="J164" s="15" t="str">
        <f t="shared" si="11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10"/>
        <v/>
      </c>
      <c r="J165" s="15" t="str">
        <f t="shared" si="11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10"/>
        <v/>
      </c>
      <c r="J166" s="15" t="str">
        <f t="shared" si="11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10"/>
        <v/>
      </c>
      <c r="J167" s="15" t="str">
        <f t="shared" si="11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10"/>
        <v/>
      </c>
      <c r="J168" s="15" t="str">
        <f t="shared" si="11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10"/>
        <v/>
      </c>
      <c r="J169" s="15" t="str">
        <f t="shared" si="11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10"/>
        <v/>
      </c>
      <c r="J170" s="15" t="str">
        <f t="shared" si="11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10"/>
        <v/>
      </c>
      <c r="J171" s="15" t="str">
        <f t="shared" si="11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10"/>
        <v/>
      </c>
      <c r="J172" s="15" t="str">
        <f t="shared" si="11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10"/>
        <v/>
      </c>
      <c r="J173" s="15" t="str">
        <f t="shared" si="11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10"/>
        <v/>
      </c>
      <c r="J174" s="15" t="str">
        <f t="shared" si="11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10"/>
        <v/>
      </c>
      <c r="J175" s="15" t="str">
        <f t="shared" si="11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10"/>
        <v/>
      </c>
      <c r="J176" s="15" t="str">
        <f t="shared" si="11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10"/>
        <v/>
      </c>
      <c r="J177" s="15" t="str">
        <f t="shared" si="11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10"/>
        <v/>
      </c>
      <c r="J178" s="15" t="str">
        <f t="shared" si="11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10"/>
        <v/>
      </c>
      <c r="J179" s="15" t="str">
        <f t="shared" si="11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10"/>
        <v/>
      </c>
      <c r="J180" s="15" t="str">
        <f t="shared" si="11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10"/>
        <v/>
      </c>
      <c r="J181" s="15" t="str">
        <f t="shared" si="11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10"/>
        <v/>
      </c>
      <c r="J182" s="15" t="str">
        <f t="shared" si="11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10"/>
        <v/>
      </c>
      <c r="J183" s="15" t="str">
        <f t="shared" si="11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10"/>
        <v/>
      </c>
      <c r="J184" s="15" t="str">
        <f t="shared" si="11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10"/>
        <v/>
      </c>
      <c r="J185" s="15" t="str">
        <f t="shared" si="11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10"/>
        <v/>
      </c>
      <c r="J186" s="15" t="str">
        <f t="shared" si="11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10"/>
        <v/>
      </c>
      <c r="J187" s="15" t="str">
        <f t="shared" si="11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10"/>
        <v/>
      </c>
      <c r="J188" s="15" t="str">
        <f t="shared" si="11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10"/>
        <v/>
      </c>
      <c r="J189" s="15" t="str">
        <f t="shared" si="11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10"/>
        <v/>
      </c>
      <c r="J190" s="15" t="str">
        <f t="shared" si="11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10"/>
        <v/>
      </c>
      <c r="J191" s="15" t="str">
        <f t="shared" si="11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10"/>
        <v/>
      </c>
      <c r="J192" s="15" t="str">
        <f t="shared" si="11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10"/>
        <v/>
      </c>
      <c r="J193" s="15" t="str">
        <f t="shared" si="11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10"/>
        <v/>
      </c>
      <c r="J194" s="15" t="str">
        <f t="shared" si="11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10"/>
        <v/>
      </c>
      <c r="J195" s="15" t="str">
        <f t="shared" si="11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10"/>
        <v/>
      </c>
      <c r="J196" s="15" t="str">
        <f t="shared" si="11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10"/>
        <v/>
      </c>
      <c r="J197" s="15" t="str">
        <f t="shared" si="11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12">IF(SUM(B198:F198,H198)=0,"",SUM(B198:F198,H198))</f>
        <v/>
      </c>
      <c r="J198" s="15" t="str">
        <f t="shared" ref="J198:J261" si="13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12"/>
        <v/>
      </c>
      <c r="J199" s="15" t="str">
        <f t="shared" si="13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12"/>
        <v/>
      </c>
      <c r="J200" s="15" t="str">
        <f t="shared" si="13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12"/>
        <v/>
      </c>
      <c r="J201" s="15" t="str">
        <f t="shared" si="13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12"/>
        <v/>
      </c>
      <c r="J202" s="15" t="str">
        <f t="shared" si="13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12"/>
        <v/>
      </c>
      <c r="J203" s="15" t="str">
        <f t="shared" si="13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12"/>
        <v/>
      </c>
      <c r="J204" s="15" t="str">
        <f t="shared" si="13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12"/>
        <v/>
      </c>
      <c r="J205" s="15" t="str">
        <f t="shared" si="13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12"/>
        <v/>
      </c>
      <c r="J206" s="15" t="str">
        <f t="shared" si="13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12"/>
        <v/>
      </c>
      <c r="J207" s="15" t="str">
        <f t="shared" si="13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12"/>
        <v/>
      </c>
      <c r="J208" s="15" t="str">
        <f t="shared" si="13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12"/>
        <v/>
      </c>
      <c r="J209" s="15" t="str">
        <f t="shared" si="13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12"/>
        <v/>
      </c>
      <c r="J210" s="15" t="str">
        <f t="shared" si="13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12"/>
        <v/>
      </c>
      <c r="J211" s="15" t="str">
        <f t="shared" si="13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12"/>
        <v/>
      </c>
      <c r="J212" s="15" t="str">
        <f t="shared" si="13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12"/>
        <v/>
      </c>
      <c r="J213" s="15" t="str">
        <f t="shared" si="13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12"/>
        <v/>
      </c>
      <c r="J214" s="15" t="str">
        <f t="shared" si="13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12"/>
        <v/>
      </c>
      <c r="J215" s="15" t="str">
        <f t="shared" si="13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12"/>
        <v/>
      </c>
      <c r="J216" s="15" t="str">
        <f t="shared" si="13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12"/>
        <v/>
      </c>
      <c r="J217" s="15" t="str">
        <f t="shared" si="13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12"/>
        <v/>
      </c>
      <c r="J218" s="15" t="str">
        <f t="shared" si="13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12"/>
        <v/>
      </c>
      <c r="J219" s="15" t="str">
        <f t="shared" si="13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12"/>
        <v/>
      </c>
      <c r="J220" s="15" t="str">
        <f t="shared" si="13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12"/>
        <v/>
      </c>
      <c r="J221" s="15" t="str">
        <f t="shared" si="13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12"/>
        <v/>
      </c>
      <c r="J222" s="15" t="str">
        <f t="shared" si="13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12"/>
        <v/>
      </c>
      <c r="J223" s="15" t="str">
        <f t="shared" si="13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12"/>
        <v/>
      </c>
      <c r="J224" s="15" t="str">
        <f t="shared" si="13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12"/>
        <v/>
      </c>
      <c r="J225" s="15" t="str">
        <f t="shared" si="13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12"/>
        <v/>
      </c>
      <c r="J226" s="15" t="str">
        <f t="shared" si="13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12"/>
        <v/>
      </c>
      <c r="J227" s="15" t="str">
        <f t="shared" si="13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12"/>
        <v/>
      </c>
      <c r="J228" s="15" t="str">
        <f t="shared" si="13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12"/>
        <v/>
      </c>
      <c r="J229" s="15" t="str">
        <f t="shared" si="13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12"/>
        <v/>
      </c>
      <c r="J230" s="15" t="str">
        <f t="shared" si="13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12"/>
        <v/>
      </c>
      <c r="J231" s="15" t="str">
        <f t="shared" si="13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12"/>
        <v/>
      </c>
      <c r="J232" s="15" t="str">
        <f t="shared" si="13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12"/>
        <v/>
      </c>
      <c r="J233" s="15" t="str">
        <f t="shared" si="13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12"/>
        <v/>
      </c>
      <c r="J234" s="15" t="str">
        <f t="shared" si="13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12"/>
        <v/>
      </c>
      <c r="J235" s="15" t="str">
        <f t="shared" si="13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12"/>
        <v/>
      </c>
      <c r="J236" s="15" t="str">
        <f t="shared" si="13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12"/>
        <v/>
      </c>
      <c r="J237" s="15" t="str">
        <f t="shared" si="13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12"/>
        <v/>
      </c>
      <c r="J238" s="15" t="str">
        <f t="shared" si="13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12"/>
        <v/>
      </c>
      <c r="J239" s="15" t="str">
        <f t="shared" si="13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12"/>
        <v/>
      </c>
      <c r="J240" s="15" t="str">
        <f t="shared" si="13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12"/>
        <v/>
      </c>
      <c r="J241" s="15" t="str">
        <f t="shared" si="13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12"/>
        <v/>
      </c>
      <c r="J242" s="15" t="str">
        <f t="shared" si="13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12"/>
        <v/>
      </c>
      <c r="J243" s="15" t="str">
        <f t="shared" si="13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12"/>
        <v/>
      </c>
      <c r="J244" s="15" t="str">
        <f t="shared" si="13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12"/>
        <v/>
      </c>
      <c r="J245" s="15" t="str">
        <f t="shared" si="13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12"/>
        <v/>
      </c>
      <c r="J246" s="15" t="str">
        <f t="shared" si="13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12"/>
        <v/>
      </c>
      <c r="J247" s="15" t="str">
        <f t="shared" si="13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12"/>
        <v/>
      </c>
      <c r="J248" s="15" t="str">
        <f t="shared" si="13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12"/>
        <v/>
      </c>
      <c r="J249" s="15" t="str">
        <f t="shared" si="13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12"/>
        <v/>
      </c>
      <c r="J250" s="15" t="str">
        <f t="shared" si="13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12"/>
        <v/>
      </c>
      <c r="J251" s="15" t="str">
        <f t="shared" si="13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12"/>
        <v/>
      </c>
      <c r="J252" s="15" t="str">
        <f t="shared" si="13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12"/>
        <v/>
      </c>
      <c r="J253" s="15" t="str">
        <f t="shared" si="13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12"/>
        <v/>
      </c>
      <c r="J254" s="15" t="str">
        <f t="shared" si="13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12"/>
        <v/>
      </c>
      <c r="J255" s="15" t="str">
        <f t="shared" si="13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12"/>
        <v/>
      </c>
      <c r="J256" s="15" t="str">
        <f t="shared" si="13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12"/>
        <v/>
      </c>
      <c r="J257" s="15" t="str">
        <f t="shared" si="13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12"/>
        <v/>
      </c>
      <c r="J258" s="15" t="str">
        <f t="shared" si="13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12"/>
        <v/>
      </c>
      <c r="J259" s="15" t="str">
        <f t="shared" si="13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12"/>
        <v/>
      </c>
      <c r="J260" s="15" t="str">
        <f t="shared" si="13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12"/>
        <v/>
      </c>
      <c r="J261" s="15" t="str">
        <f t="shared" si="13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14">IF(SUM(B262:F262,H262)=0,"",SUM(B262:F262,H262))</f>
        <v/>
      </c>
      <c r="J262" s="15" t="str">
        <f t="shared" ref="J262:J325" si="15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14"/>
        <v/>
      </c>
      <c r="J263" s="15" t="str">
        <f t="shared" si="15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14"/>
        <v/>
      </c>
      <c r="J264" s="15" t="str">
        <f t="shared" si="15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14"/>
        <v/>
      </c>
      <c r="J265" s="15" t="str">
        <f t="shared" si="15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14"/>
        <v/>
      </c>
      <c r="J266" s="15" t="str">
        <f t="shared" si="15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14"/>
        <v/>
      </c>
      <c r="J267" s="15" t="str">
        <f t="shared" si="15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14"/>
        <v/>
      </c>
      <c r="J268" s="15" t="str">
        <f t="shared" si="15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14"/>
        <v/>
      </c>
      <c r="J269" s="15" t="str">
        <f t="shared" si="15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14"/>
        <v/>
      </c>
      <c r="J270" s="15" t="str">
        <f t="shared" si="15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14"/>
        <v/>
      </c>
      <c r="J271" s="15" t="str">
        <f t="shared" si="15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14"/>
        <v/>
      </c>
      <c r="J272" s="15" t="str">
        <f t="shared" si="15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14"/>
        <v/>
      </c>
      <c r="J273" s="15" t="str">
        <f t="shared" si="15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14"/>
        <v/>
      </c>
      <c r="J274" s="15" t="str">
        <f t="shared" si="15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14"/>
        <v/>
      </c>
      <c r="J275" s="15" t="str">
        <f t="shared" si="15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14"/>
        <v/>
      </c>
      <c r="J276" s="15" t="str">
        <f t="shared" si="15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14"/>
        <v/>
      </c>
      <c r="J277" s="15" t="str">
        <f t="shared" si="15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14"/>
        <v/>
      </c>
      <c r="J278" s="15" t="str">
        <f t="shared" si="15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14"/>
        <v/>
      </c>
      <c r="J279" s="15" t="str">
        <f t="shared" si="15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14"/>
        <v/>
      </c>
      <c r="J280" s="15" t="str">
        <f t="shared" si="15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14"/>
        <v/>
      </c>
      <c r="J281" s="15" t="str">
        <f t="shared" si="15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14"/>
        <v/>
      </c>
      <c r="J282" s="15" t="str">
        <f t="shared" si="15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14"/>
        <v/>
      </c>
      <c r="J283" s="15" t="str">
        <f t="shared" si="15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14"/>
        <v/>
      </c>
      <c r="J284" s="15" t="str">
        <f t="shared" si="15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14"/>
        <v/>
      </c>
      <c r="J285" s="15" t="str">
        <f t="shared" si="15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14"/>
        <v/>
      </c>
      <c r="J286" s="15" t="str">
        <f t="shared" si="15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14"/>
        <v/>
      </c>
      <c r="J287" s="15" t="str">
        <f t="shared" si="15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14"/>
        <v/>
      </c>
      <c r="J288" s="15" t="str">
        <f t="shared" si="15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14"/>
        <v/>
      </c>
      <c r="J289" s="15" t="str">
        <f t="shared" si="15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14"/>
        <v/>
      </c>
      <c r="J290" s="15" t="str">
        <f t="shared" si="15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14"/>
        <v/>
      </c>
      <c r="J291" s="15" t="str">
        <f t="shared" si="15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14"/>
        <v/>
      </c>
      <c r="J292" s="15" t="str">
        <f t="shared" si="15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14"/>
        <v/>
      </c>
      <c r="J293" s="15" t="str">
        <f t="shared" si="15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14"/>
        <v/>
      </c>
      <c r="J294" s="15" t="str">
        <f t="shared" si="15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14"/>
        <v/>
      </c>
      <c r="J295" s="15" t="str">
        <f t="shared" si="15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14"/>
        <v/>
      </c>
      <c r="J296" s="15" t="str">
        <f t="shared" si="15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14"/>
        <v/>
      </c>
      <c r="J297" s="15" t="str">
        <f t="shared" si="15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14"/>
        <v/>
      </c>
      <c r="J298" s="15" t="str">
        <f t="shared" si="15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14"/>
        <v/>
      </c>
      <c r="J299" s="15" t="str">
        <f t="shared" si="15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14"/>
        <v/>
      </c>
      <c r="J300" s="15" t="str">
        <f t="shared" si="15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14"/>
        <v/>
      </c>
      <c r="J301" s="15" t="str">
        <f t="shared" si="15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14"/>
        <v/>
      </c>
      <c r="J302" s="15" t="str">
        <f t="shared" si="15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14"/>
        <v/>
      </c>
      <c r="J303" s="15" t="str">
        <f t="shared" si="15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14"/>
        <v/>
      </c>
      <c r="J304" s="15" t="str">
        <f t="shared" si="15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14"/>
        <v/>
      </c>
      <c r="J305" s="15" t="str">
        <f t="shared" si="15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14"/>
        <v/>
      </c>
      <c r="J306" s="15" t="str">
        <f t="shared" si="15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14"/>
        <v/>
      </c>
      <c r="J307" s="15" t="str">
        <f t="shared" si="15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14"/>
        <v/>
      </c>
      <c r="J308" s="15" t="str">
        <f t="shared" si="15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14"/>
        <v/>
      </c>
      <c r="J309" s="15" t="str">
        <f t="shared" si="15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14"/>
        <v/>
      </c>
      <c r="J310" s="15" t="str">
        <f t="shared" si="15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14"/>
        <v/>
      </c>
      <c r="J311" s="15" t="str">
        <f t="shared" si="15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14"/>
        <v/>
      </c>
      <c r="J312" s="15" t="str">
        <f t="shared" si="15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14"/>
        <v/>
      </c>
      <c r="J313" s="15" t="str">
        <f t="shared" si="15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14"/>
        <v/>
      </c>
      <c r="J314" s="15" t="str">
        <f t="shared" si="15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14"/>
        <v/>
      </c>
      <c r="J315" s="15" t="str">
        <f t="shared" si="15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14"/>
        <v/>
      </c>
      <c r="J316" s="15" t="str">
        <f t="shared" si="15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14"/>
        <v/>
      </c>
      <c r="J317" s="15" t="str">
        <f t="shared" si="15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14"/>
        <v/>
      </c>
      <c r="J318" s="15" t="str">
        <f t="shared" si="15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14"/>
        <v/>
      </c>
      <c r="J319" s="15" t="str">
        <f t="shared" si="15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14"/>
        <v/>
      </c>
      <c r="J320" s="15" t="str">
        <f t="shared" si="15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14"/>
        <v/>
      </c>
      <c r="J321" s="15" t="str">
        <f t="shared" si="15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14"/>
        <v/>
      </c>
      <c r="J322" s="15" t="str">
        <f t="shared" si="15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14"/>
        <v/>
      </c>
      <c r="J323" s="15" t="str">
        <f t="shared" si="15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14"/>
        <v/>
      </c>
      <c r="J324" s="15" t="str">
        <f t="shared" si="15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14"/>
        <v/>
      </c>
      <c r="J325" s="15" t="str">
        <f t="shared" si="15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6">IF(SUM(B326:F326,H326)=0,"",SUM(B326:F326,H326))</f>
        <v/>
      </c>
      <c r="J326" s="15" t="str">
        <f t="shared" ref="J326:J389" si="17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6"/>
        <v/>
      </c>
      <c r="J327" s="15" t="str">
        <f t="shared" si="17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6"/>
        <v/>
      </c>
      <c r="J328" s="15" t="str">
        <f t="shared" si="17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6"/>
        <v/>
      </c>
      <c r="J329" s="15" t="str">
        <f t="shared" si="17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6"/>
        <v/>
      </c>
      <c r="J330" s="15" t="str">
        <f t="shared" si="17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6"/>
        <v/>
      </c>
      <c r="J331" s="15" t="str">
        <f t="shared" si="17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6"/>
        <v/>
      </c>
      <c r="J332" s="15" t="str">
        <f t="shared" si="17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6"/>
        <v/>
      </c>
      <c r="J333" s="15" t="str">
        <f t="shared" si="17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6"/>
        <v/>
      </c>
      <c r="J334" s="15" t="str">
        <f t="shared" si="17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6"/>
        <v/>
      </c>
      <c r="J335" s="15" t="str">
        <f t="shared" si="17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6"/>
        <v/>
      </c>
      <c r="J336" s="15" t="str">
        <f t="shared" si="17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6"/>
        <v/>
      </c>
      <c r="J337" s="15" t="str">
        <f t="shared" si="17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6"/>
        <v/>
      </c>
      <c r="J338" s="15" t="str">
        <f t="shared" si="17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6"/>
        <v/>
      </c>
      <c r="J339" s="15" t="str">
        <f t="shared" si="17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6"/>
        <v/>
      </c>
      <c r="J340" s="15" t="str">
        <f t="shared" si="17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6"/>
        <v/>
      </c>
      <c r="J341" s="15" t="str">
        <f t="shared" si="17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6"/>
        <v/>
      </c>
      <c r="J342" s="15" t="str">
        <f t="shared" si="17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6"/>
        <v/>
      </c>
      <c r="J343" s="15" t="str">
        <f t="shared" si="17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6"/>
        <v/>
      </c>
      <c r="J344" s="15" t="str">
        <f t="shared" si="17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6"/>
        <v/>
      </c>
      <c r="J345" s="15" t="str">
        <f t="shared" si="17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6"/>
        <v/>
      </c>
      <c r="J346" s="15" t="str">
        <f t="shared" si="17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6"/>
        <v/>
      </c>
      <c r="J347" s="15" t="str">
        <f t="shared" si="17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6"/>
        <v/>
      </c>
      <c r="J348" s="15" t="str">
        <f t="shared" si="17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6"/>
        <v/>
      </c>
      <c r="J349" s="15" t="str">
        <f t="shared" si="17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6"/>
        <v/>
      </c>
      <c r="J350" s="15" t="str">
        <f t="shared" si="17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6"/>
        <v/>
      </c>
      <c r="J351" s="15" t="str">
        <f t="shared" si="17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6"/>
        <v/>
      </c>
      <c r="J352" s="15" t="str">
        <f t="shared" si="17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6"/>
        <v/>
      </c>
      <c r="J353" s="15" t="str">
        <f t="shared" si="17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6"/>
        <v/>
      </c>
      <c r="J354" s="15" t="str">
        <f t="shared" si="17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6"/>
        <v/>
      </c>
      <c r="J355" s="15" t="str">
        <f t="shared" si="17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6"/>
        <v/>
      </c>
      <c r="J356" s="15" t="str">
        <f t="shared" si="17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6"/>
        <v/>
      </c>
      <c r="J357" s="15" t="str">
        <f t="shared" si="17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6"/>
        <v/>
      </c>
      <c r="J358" s="15" t="str">
        <f t="shared" si="17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6"/>
        <v/>
      </c>
      <c r="J359" s="15" t="str">
        <f t="shared" si="17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6"/>
        <v/>
      </c>
      <c r="J360" s="15" t="str">
        <f t="shared" si="17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6"/>
        <v/>
      </c>
      <c r="J361" s="15" t="str">
        <f t="shared" si="17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6"/>
        <v/>
      </c>
      <c r="J362" s="15" t="str">
        <f t="shared" si="17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6"/>
        <v/>
      </c>
      <c r="J363" s="15" t="str">
        <f t="shared" si="17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6"/>
        <v/>
      </c>
      <c r="J364" s="15" t="str">
        <f t="shared" si="17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6"/>
        <v/>
      </c>
      <c r="J365" s="15" t="str">
        <f t="shared" si="17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6"/>
        <v/>
      </c>
      <c r="J366" s="15" t="str">
        <f t="shared" si="17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6"/>
        <v/>
      </c>
      <c r="J367" s="15" t="str">
        <f t="shared" si="17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6"/>
        <v/>
      </c>
      <c r="J368" s="15" t="str">
        <f t="shared" si="17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6"/>
        <v/>
      </c>
      <c r="J369" s="15" t="str">
        <f t="shared" si="17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6"/>
        <v/>
      </c>
      <c r="J370" s="15" t="str">
        <f t="shared" si="17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6"/>
        <v/>
      </c>
      <c r="J371" s="15" t="str">
        <f t="shared" si="17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6"/>
        <v/>
      </c>
      <c r="J372" s="15" t="str">
        <f t="shared" si="17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6"/>
        <v/>
      </c>
      <c r="J373" s="15" t="str">
        <f t="shared" si="17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6"/>
        <v/>
      </c>
      <c r="J374" s="15" t="str">
        <f t="shared" si="17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6"/>
        <v/>
      </c>
      <c r="J375" s="15" t="str">
        <f t="shared" si="17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6"/>
        <v/>
      </c>
      <c r="J376" s="15" t="str">
        <f t="shared" si="17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6"/>
        <v/>
      </c>
      <c r="J377" s="15" t="str">
        <f t="shared" si="17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6"/>
        <v/>
      </c>
      <c r="J378" s="15" t="str">
        <f t="shared" si="17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6"/>
        <v/>
      </c>
      <c r="J379" s="15" t="str">
        <f t="shared" si="17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6"/>
        <v/>
      </c>
      <c r="J380" s="15" t="str">
        <f t="shared" si="17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6"/>
        <v/>
      </c>
      <c r="J381" s="15" t="str">
        <f t="shared" si="17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6"/>
        <v/>
      </c>
      <c r="J382" s="15" t="str">
        <f t="shared" si="17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6"/>
        <v/>
      </c>
      <c r="J383" s="15" t="str">
        <f t="shared" si="17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6"/>
        <v/>
      </c>
      <c r="J384" s="15" t="str">
        <f t="shared" si="17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6"/>
        <v/>
      </c>
      <c r="J385" s="15" t="str">
        <f t="shared" si="17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6"/>
        <v/>
      </c>
      <c r="J386" s="15" t="str">
        <f t="shared" si="17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6"/>
        <v/>
      </c>
      <c r="J387" s="15" t="str">
        <f t="shared" si="17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6"/>
        <v/>
      </c>
      <c r="J388" s="15" t="str">
        <f t="shared" si="17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6"/>
        <v/>
      </c>
      <c r="J389" s="15" t="str">
        <f t="shared" si="17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8">IF(SUM(B390:F390,H390)=0,"",SUM(B390:F390,H390))</f>
        <v/>
      </c>
      <c r="J390" s="15" t="str">
        <f t="shared" ref="J390:J401" si="19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8"/>
        <v/>
      </c>
      <c r="J391" s="15" t="str">
        <f t="shared" si="19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8"/>
        <v/>
      </c>
      <c r="J392" s="15" t="str">
        <f t="shared" si="19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8"/>
        <v/>
      </c>
      <c r="J393" s="15" t="str">
        <f t="shared" si="19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8"/>
        <v/>
      </c>
      <c r="J394" s="15" t="str">
        <f t="shared" si="19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8"/>
        <v/>
      </c>
      <c r="J395" s="15" t="str">
        <f t="shared" si="19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8"/>
        <v/>
      </c>
      <c r="J396" s="15" t="str">
        <f t="shared" si="19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8"/>
        <v/>
      </c>
      <c r="J397" s="15" t="str">
        <f t="shared" si="19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8"/>
        <v/>
      </c>
      <c r="J398" s="15" t="str">
        <f t="shared" si="19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8"/>
        <v/>
      </c>
      <c r="J399" s="15" t="str">
        <f t="shared" si="19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8"/>
        <v/>
      </c>
      <c r="J400" s="15" t="str">
        <f t="shared" si="19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8"/>
        <v/>
      </c>
      <c r="J401" s="15" t="str">
        <f t="shared" si="19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Navdeep Singh</cp:lastModifiedBy>
  <cp:revision>0</cp:revision>
  <dcterms:created xsi:type="dcterms:W3CDTF">2026-07-24T11:49:30Z</dcterms:created>
  <dcterms:modified xsi:type="dcterms:W3CDTF">2026-09-26T05:55:10Z</dcterms:modified>
  <dc:language>en-US</dc:language>
</cp:coreProperties>
</file>